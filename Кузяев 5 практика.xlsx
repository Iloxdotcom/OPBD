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2296" windowHeight="11400"/>
  </bookViews>
  <sheets>
    <sheet name="Математика" sheetId="1" r:id="rId1"/>
    <sheet name="Расчет кредита" sheetId="2" r:id="rId2"/>
  </sheets>
  <calcPr calcId="162913"/>
</workbook>
</file>

<file path=xl/calcChain.xml><?xml version="1.0" encoding="utf-8"?>
<calcChain xmlns="http://schemas.openxmlformats.org/spreadsheetml/2006/main">
  <c r="Z10" i="1" l="1"/>
  <c r="Z8" i="1"/>
  <c r="X8" i="1"/>
  <c r="G8" i="1"/>
  <c r="H8" i="1" s="1"/>
  <c r="F8" i="1"/>
  <c r="AA7" i="1"/>
  <c r="Z7" i="1"/>
  <c r="X7" i="1"/>
  <c r="T7" i="1"/>
  <c r="I7" i="1"/>
  <c r="G7" i="1"/>
  <c r="H7" i="1" s="1"/>
  <c r="F7" i="1"/>
  <c r="AA6" i="1"/>
  <c r="Z6" i="1"/>
  <c r="X6" i="1"/>
  <c r="T6" i="1"/>
  <c r="I6" i="1"/>
  <c r="G6" i="1"/>
  <c r="H6" i="1" s="1"/>
  <c r="F6" i="1"/>
  <c r="AA5" i="1"/>
  <c r="Z5" i="1"/>
  <c r="X5" i="1"/>
  <c r="T5" i="1"/>
  <c r="I5" i="1"/>
  <c r="G5" i="1"/>
  <c r="H5" i="1" s="1"/>
  <c r="F5" i="1"/>
  <c r="AA4" i="1"/>
  <c r="Z4" i="1"/>
  <c r="X4" i="1"/>
  <c r="T4" i="1"/>
  <c r="I4" i="1"/>
  <c r="G4" i="1"/>
  <c r="H4" i="1" s="1"/>
  <c r="F4" i="1"/>
  <c r="AA3" i="1"/>
  <c r="Z3" i="1"/>
  <c r="X3" i="1"/>
  <c r="I3" i="1"/>
  <c r="G3" i="1"/>
  <c r="H3" i="1" s="1"/>
  <c r="F3" i="1"/>
  <c r="AA2" i="1"/>
  <c r="Z2" i="1"/>
  <c r="X2" i="1"/>
  <c r="I2" i="1"/>
  <c r="G2" i="1"/>
  <c r="H2" i="1" s="1"/>
  <c r="F2" i="1"/>
  <c r="AA1" i="1"/>
</calcChain>
</file>

<file path=xl/sharedStrings.xml><?xml version="1.0" encoding="utf-8"?>
<sst xmlns="http://schemas.openxmlformats.org/spreadsheetml/2006/main" count="22" uniqueCount="22">
  <si>
    <t>№ детали</t>
  </si>
  <si>
    <t>Радиус R (мм)</t>
  </si>
  <si>
    <t>Высота h (мм)</t>
  </si>
  <si>
    <t>Масса m (кг)</t>
  </si>
  <si>
    <t>Длина L (мм)</t>
  </si>
  <si>
    <t>Диаметр (мм)</t>
  </si>
  <si>
    <t>Объем (мм³)</t>
  </si>
  <si>
    <t>√V</t>
  </si>
  <si>
    <t>|m - 3|</t>
  </si>
  <si>
    <t>Длина дуги</t>
  </si>
  <si>
    <t>Дуга через РАДИАНЫ</t>
  </si>
  <si>
    <t>Общая масса всех деталей</t>
  </si>
  <si>
    <t>Масса деталей &gt; 2 кг</t>
  </si>
  <si>
    <t>Средневзвешенная масса</t>
  </si>
  <si>
    <t>Количество деталей &gt; 2 кг</t>
  </si>
  <si>
    <t>Средняя масса</t>
  </si>
  <si>
    <t>Максимальная масса</t>
  </si>
  <si>
    <t>Минимальная масса</t>
  </si>
  <si>
    <t>Сумма кредита</t>
  </si>
  <si>
    <t>Годовая ставка</t>
  </si>
  <si>
    <t>Срок (лет)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</si>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</sst>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" fontId="0" fillId="0" borderId="0" xfId="0" applyNumberFormat="1"/>
    <xf numFmtId="3" fontId="0" fillId="0" borderId="0" xfId="0" applyNumberFormat="1"/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right"/>
    </xf>
    <xf numFmtId="9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3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Views>
    <sheetView tabSelected="1" workbookViewId="0">
      <selection activeCell="I8" sqref="I8"/>
    </sheetView>
  </sheetViews>
  <sheetFormatPr defaultRowHeight="14.4" x14ac:dyDescent="0.3"/>
  <cols>
    <col min="1" max="1" width="10" customWidth="1"/>
    <col min="2" max="6" width="15" customWidth="1"/>
    <col min="7" max="7" width="18" customWidth="1"/>
    <col min="8" max="8" width="10" customWidth="1"/>
    <col min="9" max="19" width="12" customWidth="1"/>
    <col min="20" max="20" width="21" customWidth="1"/>
    <col min="21" max="23" width="12" customWidth="1"/>
    <col min="24" max="24" width="20" customWidth="1"/>
    <col min="25" max="25" width="12" customWidth="1"/>
    <col min="26" max="26" width="21" customWidth="1"/>
    <col min="27" max="27" width="38" customWidth="1"/>
    <col min="28" max="28" width="30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>
        <v>3</v>
      </c>
      <c r="T1" s="3">
        <v>100000</v>
      </c>
      <c r="X1" t="s">
        <v>9</v>
      </c>
      <c r="Y1">
        <v>60</v>
      </c>
      <c r="Z1" t="s">
        <v>10</v>
      </c>
      <c r="AA1">
        <f>SUM(D2:D8)</f>
        <v>21.799999999999997</v>
      </c>
      <c r="AB1" t="s">
        <v>11</v>
      </c>
    </row>
    <row r="2" spans="1:28" x14ac:dyDescent="0.3">
      <c r="A2" s="4">
        <v>1</v>
      </c>
      <c r="B2" s="5">
        <v>12.5</v>
      </c>
      <c r="C2" s="5">
        <v>30</v>
      </c>
      <c r="D2" s="5">
        <v>2.4</v>
      </c>
      <c r="E2" s="5">
        <v>145</v>
      </c>
      <c r="F2" s="5">
        <f t="shared" ref="F2:F8" si="0">2*B2</f>
        <v>25</v>
      </c>
      <c r="G2" s="5">
        <f t="shared" ref="G2:G8" si="1">PI()*POWER(B2,2)*C2</f>
        <v>14726.215563702155</v>
      </c>
      <c r="H2" s="5">
        <f t="shared" ref="H2:H8" si="2">SQRT(G2)</f>
        <v>121.3516195347312</v>
      </c>
      <c r="I2" s="5">
        <f t="shared" ref="I2:I8" si="3">ABS(D2-$K$1)</f>
        <v>0.60000000000000009</v>
      </c>
      <c r="T2" s="6">
        <v>0.12</v>
      </c>
      <c r="X2">
        <f t="shared" ref="X2:X8" si="4">PI()*B2*$Y$1/180</f>
        <v>13.089969389957471</v>
      </c>
      <c r="Z2">
        <f t="shared" ref="Z2:Z8" si="5">B2*RADIANS($Y$1)</f>
        <v>13.089969389957471</v>
      </c>
      <c r="AA2">
        <f>SUMIF(D2:D8,"&gt;2")</f>
        <v>18.100000000000001</v>
      </c>
      <c r="AB2" t="s">
        <v>12</v>
      </c>
    </row>
    <row r="3" spans="1:28" x14ac:dyDescent="0.3">
      <c r="A3" s="4">
        <v>2</v>
      </c>
      <c r="B3" s="5">
        <v>8.3000000000000007</v>
      </c>
      <c r="C3" s="5">
        <v>25</v>
      </c>
      <c r="D3" s="5">
        <v>1.1000000000000001</v>
      </c>
      <c r="E3" s="5">
        <v>98</v>
      </c>
      <c r="F3" s="5">
        <f t="shared" si="0"/>
        <v>16.600000000000001</v>
      </c>
      <c r="G3" s="5">
        <f t="shared" si="1"/>
        <v>5410.6079476450223</v>
      </c>
      <c r="H3" s="5">
        <f t="shared" si="2"/>
        <v>73.556834812578927</v>
      </c>
      <c r="I3" s="5">
        <f t="shared" si="3"/>
        <v>1.9</v>
      </c>
      <c r="T3" s="2">
        <v>5</v>
      </c>
      <c r="X3">
        <f t="shared" si="4"/>
        <v>8.6917396749317621</v>
      </c>
      <c r="Z3">
        <f t="shared" si="5"/>
        <v>8.6917396749317604</v>
      </c>
      <c r="AA3">
        <f>SUMPRODUCT(D2:D8,E2:E8)/SUM(E2:E8)</f>
        <v>4.0744612928970474</v>
      </c>
      <c r="AB3" t="s">
        <v>13</v>
      </c>
    </row>
    <row r="4" spans="1:28" x14ac:dyDescent="0.3">
      <c r="A4" s="4">
        <v>3</v>
      </c>
      <c r="B4" s="5">
        <v>15.7</v>
      </c>
      <c r="C4" s="5">
        <v>40</v>
      </c>
      <c r="D4" s="5">
        <v>4</v>
      </c>
      <c r="E4" s="5">
        <v>210</v>
      </c>
      <c r="F4" s="5">
        <f t="shared" si="0"/>
        <v>31.4</v>
      </c>
      <c r="G4" s="5">
        <f t="shared" si="1"/>
        <v>30974.846927333921</v>
      </c>
      <c r="H4" s="5">
        <f t="shared" si="2"/>
        <v>175.99672419489494</v>
      </c>
      <c r="I4" s="5">
        <f t="shared" si="3"/>
        <v>1</v>
      </c>
      <c r="T4" s="7">
        <f>T1*POWER(1+T2,T3)</f>
        <v>176234.16832000006</v>
      </c>
      <c r="X4">
        <f t="shared" si="4"/>
        <v>16.441001553786581</v>
      </c>
      <c r="Z4">
        <f t="shared" si="5"/>
        <v>16.441001553786581</v>
      </c>
      <c r="AA4">
        <f>COUNTIF(D2:D8,"&gt;2")</f>
        <v>4</v>
      </c>
      <c r="AB4" t="s">
        <v>14</v>
      </c>
    </row>
    <row r="5" spans="1:28" x14ac:dyDescent="0.3">
      <c r="A5" s="4">
        <v>4</v>
      </c>
      <c r="B5" s="5">
        <v>6.2</v>
      </c>
      <c r="C5" s="5">
        <v>18</v>
      </c>
      <c r="D5" s="5">
        <v>0.7</v>
      </c>
      <c r="E5" s="5">
        <v>75</v>
      </c>
      <c r="F5" s="5">
        <f t="shared" si="0"/>
        <v>12.4</v>
      </c>
      <c r="G5" s="5">
        <f t="shared" si="1"/>
        <v>2173.7307888718501</v>
      </c>
      <c r="H5" s="5">
        <f t="shared" si="2"/>
        <v>46.623285908136616</v>
      </c>
      <c r="I5" s="5">
        <f t="shared" si="3"/>
        <v>2.2999999999999998</v>
      </c>
      <c r="T5" s="7">
        <f>T1*EXP(T2*T3)</f>
        <v>182211.88003905088</v>
      </c>
      <c r="X5">
        <f t="shared" si="4"/>
        <v>6.4926248174189052</v>
      </c>
      <c r="Z5">
        <f t="shared" si="5"/>
        <v>6.4926248174189052</v>
      </c>
      <c r="AA5">
        <f>AVERAGE(D2:D8)</f>
        <v>3.1142857142857139</v>
      </c>
      <c r="AB5" t="s">
        <v>15</v>
      </c>
    </row>
    <row r="6" spans="1:28" x14ac:dyDescent="0.3">
      <c r="A6" s="4">
        <v>5</v>
      </c>
      <c r="B6" s="5">
        <v>20.100000000000001</v>
      </c>
      <c r="C6" s="5">
        <v>55</v>
      </c>
      <c r="D6" s="5">
        <v>6.5</v>
      </c>
      <c r="E6" s="5">
        <v>320</v>
      </c>
      <c r="F6" s="5">
        <f t="shared" si="0"/>
        <v>40.200000000000003</v>
      </c>
      <c r="G6" s="5">
        <f t="shared" si="1"/>
        <v>69807.916638724681</v>
      </c>
      <c r="H6" s="5">
        <f t="shared" si="2"/>
        <v>264.21187830740064</v>
      </c>
      <c r="I6" s="5">
        <f t="shared" si="3"/>
        <v>3.5</v>
      </c>
      <c r="T6" s="8">
        <f>72/(T2*100)</f>
        <v>6</v>
      </c>
      <c r="X6">
        <f t="shared" si="4"/>
        <v>21.048670779051616</v>
      </c>
      <c r="Z6">
        <f t="shared" si="5"/>
        <v>21.048670779051612</v>
      </c>
      <c r="AA6">
        <f>MAX(D2:D8)</f>
        <v>6.5</v>
      </c>
      <c r="AB6" t="s">
        <v>16</v>
      </c>
    </row>
    <row r="7" spans="1:28" x14ac:dyDescent="0.3">
      <c r="A7" s="4">
        <v>6</v>
      </c>
      <c r="B7" s="5">
        <v>10.4</v>
      </c>
      <c r="C7" s="5">
        <v>28</v>
      </c>
      <c r="D7" s="5">
        <v>1.9</v>
      </c>
      <c r="E7" s="5">
        <v>130</v>
      </c>
      <c r="F7" s="5">
        <f t="shared" si="0"/>
        <v>20.8</v>
      </c>
      <c r="G7" s="5">
        <f t="shared" si="1"/>
        <v>9514.250519543617</v>
      </c>
      <c r="H7" s="5">
        <f t="shared" si="2"/>
        <v>97.541019676562826</v>
      </c>
      <c r="I7" s="5">
        <f t="shared" si="3"/>
        <v>1.1000000000000001</v>
      </c>
      <c r="T7" s="9">
        <f>LN(2)/LN(1+T2)</f>
        <v>6.1162553741996994</v>
      </c>
      <c r="X7">
        <f t="shared" si="4"/>
        <v>10.890854532444616</v>
      </c>
      <c r="Z7">
        <f t="shared" si="5"/>
        <v>10.890854532444616</v>
      </c>
      <c r="AA7">
        <f>MIN(D2:D8)</f>
        <v>0.7</v>
      </c>
      <c r="AB7" t="s">
        <v>17</v>
      </c>
    </row>
    <row r="8" spans="1:28" x14ac:dyDescent="0.3">
      <c r="A8" s="4">
        <v>7</v>
      </c>
      <c r="B8" s="5">
        <v>18.899999999999999</v>
      </c>
      <c r="C8" s="5">
        <v>48</v>
      </c>
      <c r="D8" s="5">
        <v>5.2</v>
      </c>
      <c r="E8" s="5">
        <v>275</v>
      </c>
      <c r="F8" s="5">
        <f t="shared" si="0"/>
        <v>37.799999999999997</v>
      </c>
      <c r="G8" s="5">
        <f t="shared" si="1"/>
        <v>53865.998965862877</v>
      </c>
      <c r="H8" s="5">
        <f t="shared" si="2"/>
        <v>232.09049736226359</v>
      </c>
      <c r="I8" s="5" t="s">
        <v>21</v>
      </c>
      <c r="X8">
        <f t="shared" si="4"/>
        <v>19.792033717615695</v>
      </c>
      <c r="Z8">
        <f t="shared" si="5"/>
        <v>19.792033717615695</v>
      </c>
    </row>
    <row r="10" spans="1:28" x14ac:dyDescent="0.3">
      <c r="Z10">
        <f>DEGREES(PI()/3)</f>
        <v>59.999999999999993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4.4" x14ac:dyDescent="0.3"/>
  <cols>
    <col min="1" max="1" width="17" customWidth="1"/>
    <col min="2" max="2" width="12" customWidth="1"/>
  </cols>
  <sheetData>
    <row r="1" spans="1:2" x14ac:dyDescent="0.3">
      <c r="A1" s="10" t="s">
        <v>18</v>
      </c>
      <c r="B1" s="3">
        <v>500000</v>
      </c>
    </row>
    <row r="2" spans="1:2" x14ac:dyDescent="0.3">
      <c r="A2" s="10" t="s">
        <v>19</v>
      </c>
      <c r="B2" s="6">
        <v>0.18</v>
      </c>
    </row>
    <row r="3" spans="1:2" x14ac:dyDescent="0.3">
      <c r="A3" s="10" t="s">
        <v>20</v>
      </c>
      <c r="B3" s="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Математика</vt:lpstr>
      <vt:lpstr>Расчет кредита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2026-10-05T10:19:28Z</dcterms:created>
  <dcterms:modified xsi:type="dcterms:W3CDTF">2026-10-05T11:25:18Z</dcterms:modified>
</cp:coreProperties>
</file>